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red/Downloads/"/>
    </mc:Choice>
  </mc:AlternateContent>
  <xr:revisionPtr revIDLastSave="0" documentId="13_ncr:1_{95F23B29-9754-604C-97A9-8BA82FC17D91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" l="1"/>
  <c r="F42" i="1" s="1"/>
  <c r="B41" i="1"/>
  <c r="B40" i="1"/>
  <c r="F40" i="1" s="1"/>
  <c r="B39" i="1"/>
  <c r="E39" i="1" s="1"/>
  <c r="B38" i="1"/>
  <c r="B37" i="1"/>
  <c r="E37" i="1" s="1"/>
  <c r="B36" i="1"/>
  <c r="B35" i="1"/>
  <c r="F35" i="1" s="1"/>
  <c r="B34" i="1"/>
  <c r="F34" i="1" s="1"/>
  <c r="B33" i="1"/>
  <c r="B32" i="1"/>
  <c r="F32" i="1" s="1"/>
  <c r="D25" i="1"/>
  <c r="C25" i="1"/>
  <c r="F24" i="1"/>
  <c r="E24" i="1"/>
  <c r="F23" i="1"/>
  <c r="E23" i="1"/>
  <c r="D23" i="1"/>
  <c r="C23" i="1"/>
  <c r="D19" i="1"/>
  <c r="C41" i="1" s="1"/>
  <c r="E26" i="1" l="1"/>
  <c r="E27" i="1" s="1"/>
  <c r="D40" i="1"/>
  <c r="D33" i="1"/>
  <c r="C32" i="1"/>
  <c r="C42" i="1"/>
  <c r="C38" i="1"/>
  <c r="F36" i="1"/>
  <c r="E41" i="1"/>
  <c r="C34" i="1"/>
  <c r="E36" i="1"/>
  <c r="D41" i="1"/>
  <c r="E33" i="1"/>
  <c r="D38" i="1"/>
  <c r="F33" i="1"/>
  <c r="D35" i="1"/>
  <c r="E38" i="1"/>
  <c r="C40" i="1"/>
  <c r="F41" i="1"/>
  <c r="E35" i="1"/>
  <c r="C37" i="1"/>
  <c r="D37" i="1"/>
  <c r="E40" i="1"/>
  <c r="D34" i="1"/>
  <c r="C24" i="1"/>
  <c r="C26" i="1"/>
  <c r="C27" i="1" s="1"/>
  <c r="J29" i="1"/>
  <c r="E34" i="1"/>
  <c r="C36" i="1"/>
  <c r="F37" i="1"/>
  <c r="D39" i="1"/>
  <c r="E42" i="1"/>
  <c r="F39" i="1"/>
  <c r="F26" i="1"/>
  <c r="F27" i="1" s="1"/>
  <c r="C35" i="1"/>
  <c r="D32" i="1"/>
  <c r="F38" i="1"/>
  <c r="E25" i="1"/>
  <c r="E32" i="1"/>
  <c r="F25" i="1"/>
  <c r="C39" i="1"/>
  <c r="D42" i="1"/>
  <c r="K5" i="1"/>
  <c r="K9" i="1"/>
  <c r="D24" i="1"/>
  <c r="D26" i="1"/>
  <c r="D27" i="1" s="1"/>
  <c r="J30" i="1"/>
  <c r="C33" i="1"/>
  <c r="D36" i="1"/>
  <c r="K6" i="1" l="1"/>
  <c r="K7" i="1" s="1"/>
  <c r="K8" i="1"/>
</calcChain>
</file>

<file path=xl/sharedStrings.xml><?xml version="1.0" encoding="utf-8"?>
<sst xmlns="http://schemas.openxmlformats.org/spreadsheetml/2006/main" count="131" uniqueCount="100">
  <si>
    <t>FX Hedging Model – Stage 3 (USD Receivable, EUR-Linked Economics)</t>
  </si>
  <si>
    <t>Inputs (Editable cells highlighted in yellow)</t>
  </si>
  <si>
    <t>Variable</t>
  </si>
  <si>
    <t>Description</t>
  </si>
  <si>
    <t>Unit</t>
  </si>
  <si>
    <t>Value</t>
  </si>
  <si>
    <t>Source</t>
  </si>
  <si>
    <t>USD_AMT</t>
  </si>
  <si>
    <t>USD receivable amount</t>
  </si>
  <si>
    <t>USD</t>
  </si>
  <si>
    <t>Company ERP</t>
  </si>
  <si>
    <t>S0</t>
  </si>
  <si>
    <t>EURUSD spot (USD per EUR)</t>
  </si>
  <si>
    <t>USD/EUR</t>
  </si>
  <si>
    <t>Market</t>
  </si>
  <si>
    <t>F0</t>
  </si>
  <si>
    <t>1y EURUSD forward</t>
  </si>
  <si>
    <t>Provided</t>
  </si>
  <si>
    <t>r_USD</t>
  </si>
  <si>
    <t>USD 1y interest rate</t>
  </si>
  <si>
    <t>%</t>
  </si>
  <si>
    <t>r_EUR</t>
  </si>
  <si>
    <t>EUR 1y interest rate</t>
  </si>
  <si>
    <t>t</t>
  </si>
  <si>
    <t>Time to maturity</t>
  </si>
  <si>
    <t>Years</t>
  </si>
  <si>
    <t>Contract</t>
  </si>
  <si>
    <t>K_put</t>
  </si>
  <si>
    <t>EUR put strike</t>
  </si>
  <si>
    <t>Analyst</t>
  </si>
  <si>
    <t>K_call</t>
  </si>
  <si>
    <t>EUR call strike</t>
  </si>
  <si>
    <t>Premium_put</t>
  </si>
  <si>
    <t>Put premium (USD/EUR)</t>
  </si>
  <si>
    <t>Scenario</t>
  </si>
  <si>
    <t>Premium_call</t>
  </si>
  <si>
    <t>Call premium (USD/EUR)</t>
  </si>
  <si>
    <t>EUR_LINK_PCT</t>
  </si>
  <si>
    <t>Percent of USD economics linked to EUR</t>
  </si>
  <si>
    <t>Formula</t>
  </si>
  <si>
    <t>HEDGE_EUR_AMT</t>
  </si>
  <si>
    <t>EUR-equivalent hedge notional</t>
  </si>
  <si>
    <t>EUR</t>
  </si>
  <si>
    <t>Metric</t>
  </si>
  <si>
    <t>Units</t>
  </si>
  <si>
    <t>Forward</t>
  </si>
  <si>
    <t>Money Market</t>
  </si>
  <si>
    <t>EUR Put</t>
  </si>
  <si>
    <t>EUR Call</t>
  </si>
  <si>
    <t>Hedge locked USD amount</t>
  </si>
  <si>
    <t>Option premium (total)</t>
  </si>
  <si>
    <t>Total economic USD outcome</t>
  </si>
  <si>
    <t>Money Market Hedge (Sub-steps)</t>
  </si>
  <si>
    <t>Step</t>
  </si>
  <si>
    <t>Borrow EUR now</t>
  </si>
  <si>
    <t>Convert to USD at spot</t>
  </si>
  <si>
    <t>Invest USD for t</t>
  </si>
  <si>
    <t>Repay EUR loan</t>
  </si>
  <si>
    <t>MM locked USD (parity)</t>
  </si>
  <si>
    <t>Forward Total USD</t>
  </si>
  <si>
    <t>MM Total USD</t>
  </si>
  <si>
    <t>Put Total USD</t>
  </si>
  <si>
    <t>Call Total USD</t>
  </si>
  <si>
    <t>-5%</t>
  </si>
  <si>
    <t>-4%</t>
  </si>
  <si>
    <t>-3%</t>
  </si>
  <si>
    <t>-2%</t>
  </si>
  <si>
    <t>-1%</t>
  </si>
  <si>
    <t>+0%</t>
  </si>
  <si>
    <t>+1%</t>
  </si>
  <si>
    <t>+2%</t>
  </si>
  <si>
    <t>+3%</t>
  </si>
  <si>
    <t>+4%</t>
  </si>
  <si>
    <t>+5%</t>
  </si>
  <si>
    <t>Outputs Summary</t>
  </si>
  <si>
    <t>Output</t>
  </si>
  <si>
    <t>Value/Reference</t>
  </si>
  <si>
    <t>Forward hedge result (USD)</t>
  </si>
  <si>
    <t>Locked hedge USD amount</t>
  </si>
  <si>
    <t>MM hedge result (USD)</t>
  </si>
  <si>
    <t>Parity check vs. forward</t>
  </si>
  <si>
    <t>Option results (grid)</t>
  </si>
  <si>
    <t>See Sensitivity table</t>
  </si>
  <si>
    <t>Recommendation (placeholder)</t>
  </si>
  <si>
    <t>Complete in Stage 5</t>
  </si>
  <si>
    <t>Notes &amp; Assumptions</t>
  </si>
  <si>
    <t>HEDGE_EUR_AMT / (1 + r_EUR * t)</t>
  </si>
  <si>
    <t>See Rows 32-42</t>
  </si>
  <si>
    <t>USD_AMT / S0 * EUR_LINK_PCT</t>
  </si>
  <si>
    <t>USD * (1 + r_USD * t)</t>
  </si>
  <si>
    <t>Borrow_EUR * S0</t>
  </si>
  <si>
    <t>Borrow_EUR * (1 + r_EUR * t)</t>
  </si>
  <si>
    <t>HEDGE_EUR_AMT * F0</t>
  </si>
  <si>
    <t>Strategy Comparison</t>
  </si>
  <si>
    <t>Base EURUSD (S0)</t>
  </si>
  <si>
    <t>Hedge P&amp;L at S0</t>
  </si>
  <si>
    <t>Sensitivity: USD Outcomes vs. Ending EURUSD (S0)</t>
  </si>
  <si>
    <t>S0 (USD/EUR)</t>
  </si>
  <si>
    <t>- All editable model inputs are in yellow in cells D5:D15.
- HEDGE_EUR_AMT (D19) = USD_AMT (D5) / S0 (D6) * EUR_LINK_PCT (D15).
- Forward &amp; Money Market hedges should produce nearly identical results (interest parity).
- Sensitivity table varies S0 from 0.95×S0 to 1.05×S0 in 1% increments.
- Total economic USD outcome = fixed USD receivable (D5) plus hedge P&amp;L.
- Adjust K_put, K_call, and premiums to match your case; this will update the grid and chart.'</t>
  </si>
  <si>
    <t>Derived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</si>
</sst>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\$#,##0"/>
    <numFmt numFmtId="165" formatCode="0.0000"/>
    <numFmt numFmtId="166" formatCode="\$#,##0.000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2" xfId="0" applyFont="1" applyFill="1" applyBorder="1" applyAlignment="1">
      <alignment horizontal="center"/>
    </xf>
    <xf numFmtId="0" fontId="0" fillId="0" borderId="2" xfId="0" applyBorder="1"/>
    <xf numFmtId="164" fontId="0" fillId="4" borderId="2" xfId="0" applyNumberFormat="1" applyFill="1" applyBorder="1"/>
    <xf numFmtId="165" fontId="0" fillId="0" borderId="2" xfId="0" applyNumberFormat="1" applyBorder="1"/>
    <xf numFmtId="165" fontId="0" fillId="4" borderId="2" xfId="0" applyNumberFormat="1" applyFill="1" applyBorder="1"/>
    <xf numFmtId="166" fontId="0" fillId="0" borderId="2" xfId="0" applyNumberFormat="1" applyBorder="1"/>
    <xf numFmtId="10" fontId="0" fillId="4" borderId="2" xfId="0" applyNumberFormat="1" applyFill="1" applyBorder="1"/>
    <xf numFmtId="164" fontId="0" fillId="0" borderId="2" xfId="0" applyNumberFormat="1" applyBorder="1"/>
    <xf numFmtId="0" fontId="3" fillId="0" borderId="0" xfId="0" applyFont="1" applyAlignment="1">
      <alignment wrapText="1"/>
    </xf>
    <xf numFmtId="43" fontId="0" fillId="0" borderId="2" xfId="1" applyFont="1" applyBorder="1"/>
    <xf numFmtId="0" fontId="0" fillId="0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3" fillId="0" borderId="0" xfId="0" quotePrefix="1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Hedge Outcomes vs. Ending EURUSD (S0)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Forward Total USD</c:v>
          </c:tx>
          <c:marker>
            <c:symbol val="none"/>
          </c:marker>
          <c:cat>
            <c:numRef>
              <c:f>Model!$B$32:$B$42</c:f>
              <c:numCache>
                <c:formatCode>0.0000</c:formatCode>
                <c:ptCount val="11"/>
                <c:pt idx="0">
                  <c:v>1.1153</c:v>
                </c:pt>
                <c:pt idx="1">
                  <c:v>1.1270399999999998</c:v>
                </c:pt>
                <c:pt idx="2">
                  <c:v>1.1387799999999999</c:v>
                </c:pt>
                <c:pt idx="3">
                  <c:v>1.15052</c:v>
                </c:pt>
                <c:pt idx="4">
                  <c:v>1.1622599999999998</c:v>
                </c:pt>
                <c:pt idx="5">
                  <c:v>1.1739999999999999</c:v>
                </c:pt>
                <c:pt idx="6">
                  <c:v>1.18574</c:v>
                </c:pt>
                <c:pt idx="7">
                  <c:v>1.1974799999999999</c:v>
                </c:pt>
                <c:pt idx="8">
                  <c:v>1.20922</c:v>
                </c:pt>
                <c:pt idx="9">
                  <c:v>1.22096</c:v>
                </c:pt>
                <c:pt idx="10">
                  <c:v>1.2326999999999999</c:v>
                </c:pt>
              </c:numCache>
            </c:numRef>
          </c:cat>
          <c:val>
            <c:numRef>
              <c:f>Model!$C$32:$C$42</c:f>
              <c:numCache>
                <c:formatCode>\$#,##0</c:formatCode>
                <c:ptCount val="11"/>
                <c:pt idx="0">
                  <c:v>19777172.061328791</c:v>
                </c:pt>
                <c:pt idx="1">
                  <c:v>19657172.061328791</c:v>
                </c:pt>
                <c:pt idx="2">
                  <c:v>19537172.061328791</c:v>
                </c:pt>
                <c:pt idx="3">
                  <c:v>19417172.061328791</c:v>
                </c:pt>
                <c:pt idx="4">
                  <c:v>19297172.061328791</c:v>
                </c:pt>
                <c:pt idx="5">
                  <c:v>19177172.061328791</c:v>
                </c:pt>
                <c:pt idx="6">
                  <c:v>19057172.061328791</c:v>
                </c:pt>
                <c:pt idx="7">
                  <c:v>18937172.061328791</c:v>
                </c:pt>
                <c:pt idx="8">
                  <c:v>18817172.061328791</c:v>
                </c:pt>
                <c:pt idx="9">
                  <c:v>18697172.061328787</c:v>
                </c:pt>
                <c:pt idx="10">
                  <c:v>18577172.061328791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30-5E49-BEC6-7A047CC7183A}"/>
            </c:ext>
          </c:extLst>
        </c:ser>
        <c:ser>
          <c:idx val="1"/>
          <c:order val="1"/>
          <c:tx>
            <c:v>MM Total USD</c:v>
          </c:tx>
          <c:marker>
            <c:symbol val="none"/>
          </c:marker>
          <c:cat>
            <c:numRef>
              <c:f>Model!$B$32:$B$42</c:f>
              <c:numCache>
                <c:formatCode>0.0000</c:formatCode>
                <c:ptCount val="11"/>
                <c:pt idx="0">
                  <c:v>1.1153</c:v>
                </c:pt>
                <c:pt idx="1">
                  <c:v>1.1270399999999998</c:v>
                </c:pt>
                <c:pt idx="2">
                  <c:v>1.1387799999999999</c:v>
                </c:pt>
                <c:pt idx="3">
                  <c:v>1.15052</c:v>
                </c:pt>
                <c:pt idx="4">
                  <c:v>1.1622599999999998</c:v>
                </c:pt>
                <c:pt idx="5">
                  <c:v>1.1739999999999999</c:v>
                </c:pt>
                <c:pt idx="6">
                  <c:v>1.18574</c:v>
                </c:pt>
                <c:pt idx="7">
                  <c:v>1.1974799999999999</c:v>
                </c:pt>
                <c:pt idx="8">
                  <c:v>1.20922</c:v>
                </c:pt>
                <c:pt idx="9">
                  <c:v>1.22096</c:v>
                </c:pt>
                <c:pt idx="10">
                  <c:v>1.2326999999999999</c:v>
                </c:pt>
              </c:numCache>
            </c:numRef>
          </c:cat>
          <c:val>
            <c:numRef>
              <c:f>Model!$D$32:$D$42</c:f>
              <c:numCache>
                <c:formatCode>\$#,##0</c:formatCode>
                <c:ptCount val="11"/>
                <c:pt idx="0">
                  <c:v>19777172.061328791</c:v>
                </c:pt>
                <c:pt idx="1">
                  <c:v>19657172.061328791</c:v>
                </c:pt>
                <c:pt idx="2">
                  <c:v>19537172.061328791</c:v>
                </c:pt>
                <c:pt idx="3">
                  <c:v>19417172.061328791</c:v>
                </c:pt>
                <c:pt idx="4">
                  <c:v>19297172.061328791</c:v>
                </c:pt>
                <c:pt idx="5">
                  <c:v>19177172.061328791</c:v>
                </c:pt>
                <c:pt idx="6">
                  <c:v>19057172.061328791</c:v>
                </c:pt>
                <c:pt idx="7">
                  <c:v>18937172.061328791</c:v>
                </c:pt>
                <c:pt idx="8">
                  <c:v>18817172.061328791</c:v>
                </c:pt>
                <c:pt idx="9">
                  <c:v>18697172.061328787</c:v>
                </c:pt>
                <c:pt idx="10">
                  <c:v>18577172.061328791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30-5E49-BEC6-7A047CC7183A}"/>
            </c:ext>
          </c:extLst>
        </c:ser>
        <c:ser>
          <c:idx val="2"/>
          <c:order val="2"/>
          <c:tx>
            <c:v>Put Total USD</c:v>
          </c:tx>
          <c:marker>
            <c:symbol val="none"/>
          </c:marker>
          <c:cat>
            <c:numRef>
              <c:f>Model!$B$32:$B$42</c:f>
              <c:numCache>
                <c:formatCode>0.0000</c:formatCode>
                <c:ptCount val="11"/>
                <c:pt idx="0">
                  <c:v>1.1153</c:v>
                </c:pt>
                <c:pt idx="1">
                  <c:v>1.1270399999999998</c:v>
                </c:pt>
                <c:pt idx="2">
                  <c:v>1.1387799999999999</c:v>
                </c:pt>
                <c:pt idx="3">
                  <c:v>1.15052</c:v>
                </c:pt>
                <c:pt idx="4">
                  <c:v>1.1622599999999998</c:v>
                </c:pt>
                <c:pt idx="5">
                  <c:v>1.1739999999999999</c:v>
                </c:pt>
                <c:pt idx="6">
                  <c:v>1.18574</c:v>
                </c:pt>
                <c:pt idx="7">
                  <c:v>1.1974799999999999</c:v>
                </c:pt>
                <c:pt idx="8">
                  <c:v>1.20922</c:v>
                </c:pt>
                <c:pt idx="9">
                  <c:v>1.22096</c:v>
                </c:pt>
                <c:pt idx="10">
                  <c:v>1.2326999999999999</c:v>
                </c:pt>
              </c:numCache>
            </c:numRef>
          </c:cat>
          <c:val>
            <c:numRef>
              <c:f>Model!$E$32:$E$42</c:f>
              <c:numCache>
                <c:formatCode>\$#,##0</c:formatCode>
                <c:ptCount val="11"/>
                <c:pt idx="0">
                  <c:v>20405792.16354344</c:v>
                </c:pt>
                <c:pt idx="1">
                  <c:v>20285792.16354344</c:v>
                </c:pt>
                <c:pt idx="2">
                  <c:v>20165792.16354344</c:v>
                </c:pt>
                <c:pt idx="3">
                  <c:v>20045792.16354344</c:v>
                </c:pt>
                <c:pt idx="4">
                  <c:v>19925792.16354344</c:v>
                </c:pt>
                <c:pt idx="5">
                  <c:v>19805792.16354344</c:v>
                </c:pt>
                <c:pt idx="6">
                  <c:v>19805792.16354344</c:v>
                </c:pt>
                <c:pt idx="7">
                  <c:v>19805792.16354344</c:v>
                </c:pt>
                <c:pt idx="8">
                  <c:v>19805792.16354344</c:v>
                </c:pt>
                <c:pt idx="9">
                  <c:v>19805792.16354344</c:v>
                </c:pt>
                <c:pt idx="10">
                  <c:v>19805792.16354344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30-5E49-BEC6-7A047CC7183A}"/>
            </c:ext>
          </c:extLst>
        </c:ser>
        <c:ser>
          <c:idx val="3"/>
          <c:order val="3"/>
          <c:tx>
            <c:v>Call Total USD</c:v>
          </c:tx>
          <c:marker>
            <c:symbol val="none"/>
          </c:marker>
          <c:cat>
            <c:numRef>
              <c:f>Model!$B$32:$B$42</c:f>
              <c:numCache>
                <c:formatCode>0.0000</c:formatCode>
                <c:ptCount val="11"/>
                <c:pt idx="0">
                  <c:v>1.1153</c:v>
                </c:pt>
                <c:pt idx="1">
                  <c:v>1.1270399999999998</c:v>
                </c:pt>
                <c:pt idx="2">
                  <c:v>1.1387799999999999</c:v>
                </c:pt>
                <c:pt idx="3">
                  <c:v>1.15052</c:v>
                </c:pt>
                <c:pt idx="4">
                  <c:v>1.1622599999999998</c:v>
                </c:pt>
                <c:pt idx="5">
                  <c:v>1.1739999999999999</c:v>
                </c:pt>
                <c:pt idx="6">
                  <c:v>1.18574</c:v>
                </c:pt>
                <c:pt idx="7">
                  <c:v>1.1974799999999999</c:v>
                </c:pt>
                <c:pt idx="8">
                  <c:v>1.20922</c:v>
                </c:pt>
                <c:pt idx="9">
                  <c:v>1.22096</c:v>
                </c:pt>
                <c:pt idx="10">
                  <c:v>1.2326999999999999</c:v>
                </c:pt>
              </c:numCache>
            </c:numRef>
          </c:cat>
          <c:val>
            <c:numRef>
              <c:f>Model!$F$32:$F$42</c:f>
              <c:numCache>
                <c:formatCode>\$#,##0</c:formatCode>
                <c:ptCount val="11"/>
                <c:pt idx="0">
                  <c:v>19754684.838160135</c:v>
                </c:pt>
                <c:pt idx="1">
                  <c:v>19754684.838160135</c:v>
                </c:pt>
                <c:pt idx="2">
                  <c:v>19754684.838160135</c:v>
                </c:pt>
                <c:pt idx="3">
                  <c:v>19754684.838160135</c:v>
                </c:pt>
                <c:pt idx="4">
                  <c:v>19754684.838160135</c:v>
                </c:pt>
                <c:pt idx="5">
                  <c:v>19754684.838160135</c:v>
                </c:pt>
                <c:pt idx="6">
                  <c:v>19874684.838160135</c:v>
                </c:pt>
                <c:pt idx="7">
                  <c:v>19994684.838160135</c:v>
                </c:pt>
                <c:pt idx="8">
                  <c:v>20114684.838160135</c:v>
                </c:pt>
                <c:pt idx="9">
                  <c:v>20234684.838160135</c:v>
                </c:pt>
                <c:pt idx="10">
                  <c:v>20354684.838160135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30-5E49-BEC6-7A047CC71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S_T (USD per EUR)</a:t>
                </a:r>
              </a:p>
            </c:rich>
          </c:tx>
          <c:overlay val="0"/>
        </c:title>
        <c:numFmt formatCode="0.0000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Total Economic USD Outcome</a:t>
                </a:r>
              </a:p>
            </c:rich>
          </c:tx>
          <c:overlay val="0"/>
        </c:title>
        <c:numFmt formatCode="\$#,##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63500</xdr:colOff>
      <xdr:row>9</xdr:row>
      <xdr:rowOff>114300</xdr:rowOff>
    </xdr:from>
    <xdr:to>
      <xdr:col>11</xdr:col>
      <xdr:colOff>254000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workbookViewId="0">
      <selection activeCell="G11" sqref="G11"/>
    </sheetView>
  </sheetViews>
  <sheetFormatPr baseColWidth="10" defaultColWidth="27.83203125" defaultRowHeight="15" x14ac:dyDescent="0.2"/>
  <cols>
    <col min="1" max="1" width="26.1640625" customWidth="1"/>
    <col min="2" max="2" width="31.83203125" bestFit="1" customWidth="1"/>
    <col min="3" max="4" width="15.6640625" bestFit="1" customWidth="1"/>
    <col min="5" max="5" width="25.5" bestFit="1" customWidth="1"/>
    <col min="6" max="6" width="13.6640625" bestFit="1" customWidth="1"/>
    <col min="7" max="7" width="5.5" customWidth="1"/>
    <col min="8" max="8" width="27.1640625" bestFit="1" customWidth="1"/>
    <col min="9" max="9" width="26.1640625" bestFit="1" customWidth="1"/>
    <col min="10" max="10" width="15.6640625" bestFit="1" customWidth="1"/>
    <col min="11" max="11" width="16.83203125" customWidth="1"/>
  </cols>
  <sheetData>
    <row r="1" spans="1:11" ht="19" x14ac:dyDescent="0.25">
      <c r="A1" s="1" t="s">
        <v>0</v>
      </c>
    </row>
    <row r="3" spans="1:11" x14ac:dyDescent="0.2">
      <c r="A3" s="2" t="s">
        <v>1</v>
      </c>
      <c r="H3" s="2" t="s">
        <v>52</v>
      </c>
    </row>
    <row r="4" spans="1:11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H4" s="3" t="s">
        <v>53</v>
      </c>
      <c r="I4" s="3" t="s">
        <v>39</v>
      </c>
      <c r="J4" s="3" t="s">
        <v>44</v>
      </c>
      <c r="K4" s="3" t="s">
        <v>5</v>
      </c>
    </row>
    <row r="5" spans="1:11" x14ac:dyDescent="0.2">
      <c r="A5" s="15" t="s">
        <v>7</v>
      </c>
      <c r="B5" s="14" t="s">
        <v>8</v>
      </c>
      <c r="C5" s="14" t="s">
        <v>9</v>
      </c>
      <c r="D5" s="5">
        <v>20000000</v>
      </c>
      <c r="E5" s="14" t="s">
        <v>10</v>
      </c>
      <c r="H5" s="4" t="s">
        <v>54</v>
      </c>
      <c r="I5" s="4" t="s">
        <v>86</v>
      </c>
      <c r="J5" s="14" t="s">
        <v>42</v>
      </c>
      <c r="K5" s="6">
        <f>$D$19/(1+$D$9*$D$10)</f>
        <v>10006329.003094457</v>
      </c>
    </row>
    <row r="6" spans="1:11" x14ac:dyDescent="0.2">
      <c r="A6" s="15" t="s">
        <v>11</v>
      </c>
      <c r="B6" s="14" t="s">
        <v>12</v>
      </c>
      <c r="C6" s="14" t="s">
        <v>13</v>
      </c>
      <c r="D6" s="7">
        <v>1.1739999999999999</v>
      </c>
      <c r="E6" s="14" t="s">
        <v>14</v>
      </c>
      <c r="H6" s="4" t="s">
        <v>55</v>
      </c>
      <c r="I6" s="4" t="s">
        <v>90</v>
      </c>
      <c r="J6" s="14" t="s">
        <v>9</v>
      </c>
      <c r="K6" s="8">
        <f>K5*$D$6</f>
        <v>11747430.249632891</v>
      </c>
    </row>
    <row r="7" spans="1:11" x14ac:dyDescent="0.2">
      <c r="A7" s="15" t="s">
        <v>15</v>
      </c>
      <c r="B7" s="14" t="s">
        <v>16</v>
      </c>
      <c r="C7" s="14" t="s">
        <v>13</v>
      </c>
      <c r="D7" s="7">
        <v>1.0934999999999999</v>
      </c>
      <c r="E7" s="14" t="s">
        <v>17</v>
      </c>
      <c r="H7" s="4" t="s">
        <v>56</v>
      </c>
      <c r="I7" s="4" t="s">
        <v>89</v>
      </c>
      <c r="J7" s="14" t="s">
        <v>9</v>
      </c>
      <c r="K7" s="8">
        <f>K6*(1+$D$8*$D$10)</f>
        <v>12246696.035242289</v>
      </c>
    </row>
    <row r="8" spans="1:11" x14ac:dyDescent="0.2">
      <c r="A8" s="15" t="s">
        <v>18</v>
      </c>
      <c r="B8" s="14" t="s">
        <v>19</v>
      </c>
      <c r="C8" s="14" t="s">
        <v>20</v>
      </c>
      <c r="D8" s="9">
        <v>4.2500000000000003E-2</v>
      </c>
      <c r="E8" s="14" t="s">
        <v>14</v>
      </c>
      <c r="H8" s="4" t="s">
        <v>57</v>
      </c>
      <c r="I8" s="4" t="s">
        <v>91</v>
      </c>
      <c r="J8" s="14" t="s">
        <v>42</v>
      </c>
      <c r="K8" s="6">
        <f>K5*(1+$D$9*$D$10)</f>
        <v>10221465.076660989</v>
      </c>
    </row>
    <row r="9" spans="1:11" x14ac:dyDescent="0.2">
      <c r="A9" s="15" t="s">
        <v>21</v>
      </c>
      <c r="B9" s="14" t="s">
        <v>22</v>
      </c>
      <c r="C9" s="14" t="s">
        <v>20</v>
      </c>
      <c r="D9" s="9">
        <v>2.1499999999999998E-2</v>
      </c>
      <c r="E9" s="14" t="s">
        <v>14</v>
      </c>
      <c r="H9" s="4" t="s">
        <v>58</v>
      </c>
      <c r="I9" s="4" t="s">
        <v>92</v>
      </c>
      <c r="J9" s="14" t="s">
        <v>9</v>
      </c>
      <c r="K9" s="8">
        <f>$D$19*$D$7</f>
        <v>11177172.061328791</v>
      </c>
    </row>
    <row r="10" spans="1:11" x14ac:dyDescent="0.2">
      <c r="A10" s="15" t="s">
        <v>23</v>
      </c>
      <c r="B10" s="14" t="s">
        <v>24</v>
      </c>
      <c r="C10" s="14" t="s">
        <v>25</v>
      </c>
      <c r="D10" s="7">
        <v>1</v>
      </c>
      <c r="E10" s="14" t="s">
        <v>26</v>
      </c>
    </row>
    <row r="11" spans="1:11" x14ac:dyDescent="0.2">
      <c r="A11" s="15" t="s">
        <v>27</v>
      </c>
      <c r="B11" s="14" t="s">
        <v>28</v>
      </c>
      <c r="C11" s="14" t="s">
        <v>13</v>
      </c>
      <c r="D11" s="7">
        <v>1.1739999999999999</v>
      </c>
      <c r="E11" s="14" t="s">
        <v>29</v>
      </c>
    </row>
    <row r="12" spans="1:11" x14ac:dyDescent="0.2">
      <c r="A12" s="15" t="s">
        <v>30</v>
      </c>
      <c r="B12" s="14" t="s">
        <v>31</v>
      </c>
      <c r="C12" s="14" t="s">
        <v>13</v>
      </c>
      <c r="D12" s="7">
        <v>1.1739999999999999</v>
      </c>
      <c r="E12" s="14" t="s">
        <v>29</v>
      </c>
    </row>
    <row r="13" spans="1:11" x14ac:dyDescent="0.2">
      <c r="A13" s="15" t="s">
        <v>32</v>
      </c>
      <c r="B13" s="14" t="s">
        <v>33</v>
      </c>
      <c r="C13" s="14" t="s">
        <v>13</v>
      </c>
      <c r="D13" s="7">
        <v>1.9E-2</v>
      </c>
      <c r="E13" s="14" t="s">
        <v>34</v>
      </c>
    </row>
    <row r="14" spans="1:11" x14ac:dyDescent="0.2">
      <c r="A14" s="15" t="s">
        <v>35</v>
      </c>
      <c r="B14" s="14" t="s">
        <v>36</v>
      </c>
      <c r="C14" s="14" t="s">
        <v>13</v>
      </c>
      <c r="D14" s="7">
        <v>2.4E-2</v>
      </c>
      <c r="E14" s="14" t="s">
        <v>34</v>
      </c>
    </row>
    <row r="15" spans="1:11" x14ac:dyDescent="0.2">
      <c r="A15" s="15" t="s">
        <v>37</v>
      </c>
      <c r="B15" s="14" t="s">
        <v>38</v>
      </c>
      <c r="C15" s="14" t="s">
        <v>20</v>
      </c>
      <c r="D15" s="9">
        <v>0.6</v>
      </c>
      <c r="E15" s="14" t="s">
        <v>29</v>
      </c>
    </row>
    <row r="17" spans="1:10" x14ac:dyDescent="0.2">
      <c r="A17" s="2" t="s">
        <v>99</v>
      </c>
    </row>
    <row r="18" spans="1:10" x14ac:dyDescent="0.2">
      <c r="A18" s="3" t="s">
        <v>2</v>
      </c>
      <c r="B18" s="3" t="s">
        <v>3</v>
      </c>
      <c r="C18" s="3" t="s">
        <v>4</v>
      </c>
      <c r="D18" s="3" t="s">
        <v>5</v>
      </c>
      <c r="E18" s="3" t="s">
        <v>39</v>
      </c>
    </row>
    <row r="19" spans="1:10" x14ac:dyDescent="0.2">
      <c r="A19" s="14" t="s">
        <v>40</v>
      </c>
      <c r="B19" s="14" t="s">
        <v>41</v>
      </c>
      <c r="C19" s="14" t="s">
        <v>42</v>
      </c>
      <c r="D19" s="12">
        <f>$D$5/$D$6*$D$15</f>
        <v>10221465.076660989</v>
      </c>
      <c r="E19" s="12" t="s">
        <v>88</v>
      </c>
    </row>
    <row r="21" spans="1:10" x14ac:dyDescent="0.2">
      <c r="A21" s="2" t="s">
        <v>93</v>
      </c>
    </row>
    <row r="22" spans="1:10" x14ac:dyDescent="0.2">
      <c r="A22" s="3" t="s">
        <v>43</v>
      </c>
      <c r="B22" s="3" t="s">
        <v>44</v>
      </c>
      <c r="C22" s="3" t="s">
        <v>45</v>
      </c>
      <c r="D22" s="3" t="s">
        <v>46</v>
      </c>
      <c r="E22" s="3" t="s">
        <v>47</v>
      </c>
      <c r="F22" s="3" t="s">
        <v>48</v>
      </c>
    </row>
    <row r="23" spans="1:10" x14ac:dyDescent="0.2">
      <c r="A23" s="14" t="s">
        <v>94</v>
      </c>
      <c r="B23" s="14" t="s">
        <v>13</v>
      </c>
      <c r="C23" s="6">
        <f>$D$6</f>
        <v>1.1739999999999999</v>
      </c>
      <c r="D23" s="6">
        <f>$D$6</f>
        <v>1.1739999999999999</v>
      </c>
      <c r="E23" s="6">
        <f>$D$6</f>
        <v>1.1739999999999999</v>
      </c>
      <c r="F23" s="6">
        <f>$D$6</f>
        <v>1.1739999999999999</v>
      </c>
    </row>
    <row r="24" spans="1:10" x14ac:dyDescent="0.2">
      <c r="A24" s="14" t="s">
        <v>49</v>
      </c>
      <c r="B24" s="14" t="s">
        <v>9</v>
      </c>
      <c r="C24" s="8">
        <f>$D$19*$D$7</f>
        <v>11177172.061328791</v>
      </c>
      <c r="D24" s="8">
        <f>$D$19*$D$7</f>
        <v>11177172.061328791</v>
      </c>
      <c r="E24" s="4" t="str">
        <f>""</f>
        <v/>
      </c>
      <c r="F24" s="4" t="str">
        <f>""</f>
        <v/>
      </c>
    </row>
    <row r="25" spans="1:10" x14ac:dyDescent="0.2">
      <c r="A25" s="14" t="s">
        <v>50</v>
      </c>
      <c r="B25" s="14" t="s">
        <v>9</v>
      </c>
      <c r="C25" s="4" t="str">
        <f>""</f>
        <v/>
      </c>
      <c r="D25" s="4" t="str">
        <f>""</f>
        <v/>
      </c>
      <c r="E25" s="8">
        <f>$D$19*$D$13</f>
        <v>194207.83645655878</v>
      </c>
      <c r="F25" s="8">
        <f>$D$19*$D$14</f>
        <v>245315.16183986375</v>
      </c>
    </row>
    <row r="26" spans="1:10" x14ac:dyDescent="0.2">
      <c r="A26" s="14" t="s">
        <v>95</v>
      </c>
      <c r="B26" s="14" t="s">
        <v>9</v>
      </c>
      <c r="C26" s="8">
        <f>$D$19*($D$7-C23)</f>
        <v>-822827.93867120973</v>
      </c>
      <c r="D26" s="8">
        <f>$D$19*($D$7-D23)</f>
        <v>-822827.93867120973</v>
      </c>
      <c r="E26" s="8">
        <f>MAX($D$11-E23,0)*$D$19 - ($D$19*$D$13)</f>
        <v>-194207.83645655878</v>
      </c>
      <c r="F26" s="8">
        <f>MAX(F23-$D$12,0)*$D$19 - ($D$19*$D$14)</f>
        <v>-245315.16183986375</v>
      </c>
    </row>
    <row r="27" spans="1:10" x14ac:dyDescent="0.2">
      <c r="A27" s="14" t="s">
        <v>51</v>
      </c>
      <c r="B27" s="14" t="s">
        <v>9</v>
      </c>
      <c r="C27" s="10">
        <f>$D$5 + C26</f>
        <v>19177172.061328791</v>
      </c>
      <c r="D27" s="10">
        <f>$D$5 + D26</f>
        <v>19177172.061328791</v>
      </c>
      <c r="E27" s="10">
        <f>$D$5 + E26</f>
        <v>19805792.16354344</v>
      </c>
      <c r="F27" s="10">
        <f>$D$5 + F26</f>
        <v>19754684.838160135</v>
      </c>
      <c r="H27" s="2" t="s">
        <v>74</v>
      </c>
    </row>
    <row r="28" spans="1:10" x14ac:dyDescent="0.2">
      <c r="H28" s="3" t="s">
        <v>75</v>
      </c>
      <c r="I28" s="3" t="s">
        <v>3</v>
      </c>
      <c r="J28" s="3" t="s">
        <v>76</v>
      </c>
    </row>
    <row r="29" spans="1:10" x14ac:dyDescent="0.2">
      <c r="H29" s="4" t="s">
        <v>77</v>
      </c>
      <c r="I29" s="4" t="s">
        <v>78</v>
      </c>
      <c r="J29" s="8">
        <f>$D$19*$D$7</f>
        <v>11177172.061328791</v>
      </c>
    </row>
    <row r="30" spans="1:10" x14ac:dyDescent="0.2">
      <c r="A30" s="2" t="s">
        <v>96</v>
      </c>
      <c r="H30" s="4" t="s">
        <v>79</v>
      </c>
      <c r="I30" s="4" t="s">
        <v>80</v>
      </c>
      <c r="J30" s="8">
        <f>$D$19*$D$7</f>
        <v>11177172.061328791</v>
      </c>
    </row>
    <row r="31" spans="1:10" x14ac:dyDescent="0.2">
      <c r="A31" s="3" t="s">
        <v>34</v>
      </c>
      <c r="B31" s="3" t="s">
        <v>97</v>
      </c>
      <c r="C31" s="3" t="s">
        <v>59</v>
      </c>
      <c r="D31" s="3" t="s">
        <v>60</v>
      </c>
      <c r="E31" s="3" t="s">
        <v>61</v>
      </c>
      <c r="F31" s="3" t="s">
        <v>62</v>
      </c>
      <c r="H31" s="4" t="s">
        <v>81</v>
      </c>
      <c r="I31" s="4" t="s">
        <v>82</v>
      </c>
      <c r="J31" s="13" t="s">
        <v>87</v>
      </c>
    </row>
    <row r="32" spans="1:10" x14ac:dyDescent="0.2">
      <c r="A32" s="14" t="s">
        <v>63</v>
      </c>
      <c r="B32" s="6">
        <f>$D$6*(1+-5/100)</f>
        <v>1.1153</v>
      </c>
      <c r="C32" s="10">
        <f t="shared" ref="C32:C42" si="0">$D$5 + $D$19*($D$7-B32)</f>
        <v>19777172.061328791</v>
      </c>
      <c r="D32" s="10">
        <f t="shared" ref="D32:D42" si="1">$D$5 + $D$19*($D$7-B32)</f>
        <v>19777172.061328791</v>
      </c>
      <c r="E32" s="10">
        <f t="shared" ref="E32:E42" si="2">$D$5 + MAX($D$11-B32,0)*$D$19 - ($D$19*$D$13)</f>
        <v>20405792.16354344</v>
      </c>
      <c r="F32" s="10">
        <f t="shared" ref="F32:F42" si="3">$D$5 + MAX(B32-$D$12,0)*$D$19 - ($D$19*$D$14)</f>
        <v>19754684.838160135</v>
      </c>
      <c r="H32" s="4" t="s">
        <v>83</v>
      </c>
      <c r="I32" s="4" t="s">
        <v>84</v>
      </c>
    </row>
    <row r="33" spans="1:6" x14ac:dyDescent="0.2">
      <c r="A33" s="14" t="s">
        <v>64</v>
      </c>
      <c r="B33" s="6">
        <f>$D$6*(1+-4/100)</f>
        <v>1.1270399999999998</v>
      </c>
      <c r="C33" s="10">
        <f t="shared" si="0"/>
        <v>19657172.061328791</v>
      </c>
      <c r="D33" s="10">
        <f t="shared" si="1"/>
        <v>19657172.061328791</v>
      </c>
      <c r="E33" s="10">
        <f t="shared" si="2"/>
        <v>20285792.16354344</v>
      </c>
      <c r="F33" s="10">
        <f t="shared" si="3"/>
        <v>19754684.838160135</v>
      </c>
    </row>
    <row r="34" spans="1:6" x14ac:dyDescent="0.2">
      <c r="A34" s="14" t="s">
        <v>65</v>
      </c>
      <c r="B34" s="6">
        <f>$D$6*(1+-3/100)</f>
        <v>1.1387799999999999</v>
      </c>
      <c r="C34" s="10">
        <f t="shared" si="0"/>
        <v>19537172.061328791</v>
      </c>
      <c r="D34" s="10">
        <f t="shared" si="1"/>
        <v>19537172.061328791</v>
      </c>
      <c r="E34" s="10">
        <f t="shared" si="2"/>
        <v>20165792.16354344</v>
      </c>
      <c r="F34" s="10">
        <f t="shared" si="3"/>
        <v>19754684.838160135</v>
      </c>
    </row>
    <row r="35" spans="1:6" x14ac:dyDescent="0.2">
      <c r="A35" s="14" t="s">
        <v>66</v>
      </c>
      <c r="B35" s="6">
        <f>$D$6*(1+-2/100)</f>
        <v>1.15052</v>
      </c>
      <c r="C35" s="10">
        <f t="shared" si="0"/>
        <v>19417172.061328791</v>
      </c>
      <c r="D35" s="10">
        <f t="shared" si="1"/>
        <v>19417172.061328791</v>
      </c>
      <c r="E35" s="10">
        <f t="shared" si="2"/>
        <v>20045792.16354344</v>
      </c>
      <c r="F35" s="10">
        <f t="shared" si="3"/>
        <v>19754684.838160135</v>
      </c>
    </row>
    <row r="36" spans="1:6" x14ac:dyDescent="0.2">
      <c r="A36" s="14" t="s">
        <v>67</v>
      </c>
      <c r="B36" s="6">
        <f>$D$6*(1+-1/100)</f>
        <v>1.1622599999999998</v>
      </c>
      <c r="C36" s="10">
        <f t="shared" si="0"/>
        <v>19297172.061328791</v>
      </c>
      <c r="D36" s="10">
        <f t="shared" si="1"/>
        <v>19297172.061328791</v>
      </c>
      <c r="E36" s="10">
        <f t="shared" si="2"/>
        <v>19925792.16354344</v>
      </c>
      <c r="F36" s="10">
        <f t="shared" si="3"/>
        <v>19754684.838160135</v>
      </c>
    </row>
    <row r="37" spans="1:6" x14ac:dyDescent="0.2">
      <c r="A37" s="14" t="s">
        <v>68</v>
      </c>
      <c r="B37" s="6">
        <f>$D$6*(1+0/100)</f>
        <v>1.1739999999999999</v>
      </c>
      <c r="C37" s="10">
        <f t="shared" si="0"/>
        <v>19177172.061328791</v>
      </c>
      <c r="D37" s="10">
        <f t="shared" si="1"/>
        <v>19177172.061328791</v>
      </c>
      <c r="E37" s="10">
        <f t="shared" si="2"/>
        <v>19805792.16354344</v>
      </c>
      <c r="F37" s="10">
        <f t="shared" si="3"/>
        <v>19754684.838160135</v>
      </c>
    </row>
    <row r="38" spans="1:6" x14ac:dyDescent="0.2">
      <c r="A38" s="14" t="s">
        <v>69</v>
      </c>
      <c r="B38" s="6">
        <f>$D$6*(1+1/100)</f>
        <v>1.18574</v>
      </c>
      <c r="C38" s="10">
        <f t="shared" si="0"/>
        <v>19057172.061328791</v>
      </c>
      <c r="D38" s="10">
        <f t="shared" si="1"/>
        <v>19057172.061328791</v>
      </c>
      <c r="E38" s="10">
        <f t="shared" si="2"/>
        <v>19805792.16354344</v>
      </c>
      <c r="F38" s="10">
        <f t="shared" si="3"/>
        <v>19874684.838160135</v>
      </c>
    </row>
    <row r="39" spans="1:6" x14ac:dyDescent="0.2">
      <c r="A39" s="14" t="s">
        <v>70</v>
      </c>
      <c r="B39" s="6">
        <f>$D$6*(1+2/100)</f>
        <v>1.1974799999999999</v>
      </c>
      <c r="C39" s="10">
        <f t="shared" si="0"/>
        <v>18937172.061328791</v>
      </c>
      <c r="D39" s="10">
        <f t="shared" si="1"/>
        <v>18937172.061328791</v>
      </c>
      <c r="E39" s="10">
        <f t="shared" si="2"/>
        <v>19805792.16354344</v>
      </c>
      <c r="F39" s="10">
        <f t="shared" si="3"/>
        <v>19994684.838160135</v>
      </c>
    </row>
    <row r="40" spans="1:6" x14ac:dyDescent="0.2">
      <c r="A40" s="14" t="s">
        <v>71</v>
      </c>
      <c r="B40" s="6">
        <f>$D$6*(1+3/100)</f>
        <v>1.20922</v>
      </c>
      <c r="C40" s="10">
        <f t="shared" si="0"/>
        <v>18817172.061328791</v>
      </c>
      <c r="D40" s="10">
        <f t="shared" si="1"/>
        <v>18817172.061328791</v>
      </c>
      <c r="E40" s="10">
        <f t="shared" si="2"/>
        <v>19805792.16354344</v>
      </c>
      <c r="F40" s="10">
        <f t="shared" si="3"/>
        <v>20114684.838160135</v>
      </c>
    </row>
    <row r="41" spans="1:6" x14ac:dyDescent="0.2">
      <c r="A41" s="14" t="s">
        <v>72</v>
      </c>
      <c r="B41" s="6">
        <f>$D$6*(1+4/100)</f>
        <v>1.22096</v>
      </c>
      <c r="C41" s="10">
        <f t="shared" si="0"/>
        <v>18697172.061328787</v>
      </c>
      <c r="D41" s="10">
        <f t="shared" si="1"/>
        <v>18697172.061328787</v>
      </c>
      <c r="E41" s="10">
        <f t="shared" si="2"/>
        <v>19805792.16354344</v>
      </c>
      <c r="F41" s="10">
        <f t="shared" si="3"/>
        <v>20234684.838160135</v>
      </c>
    </row>
    <row r="42" spans="1:6" x14ac:dyDescent="0.2">
      <c r="A42" s="14" t="s">
        <v>73</v>
      </c>
      <c r="B42" s="6">
        <f>$D$6*(1+5/100)</f>
        <v>1.2326999999999999</v>
      </c>
      <c r="C42" s="10">
        <f t="shared" si="0"/>
        <v>18577172.061328791</v>
      </c>
      <c r="D42" s="10">
        <f t="shared" si="1"/>
        <v>18577172.061328791</v>
      </c>
      <c r="E42" s="10">
        <f t="shared" si="2"/>
        <v>19805792.16354344</v>
      </c>
      <c r="F42" s="10">
        <f t="shared" si="3"/>
        <v>20354684.838160135</v>
      </c>
    </row>
    <row r="45" spans="1:6" x14ac:dyDescent="0.2">
      <c r="A45" s="2" t="s">
        <v>85</v>
      </c>
    </row>
    <row r="46" spans="1:6" x14ac:dyDescent="0.2">
      <c r="A46" s="16" t="s">
        <v>98</v>
      </c>
      <c r="B46" s="11"/>
      <c r="C46" s="11"/>
      <c r="D46" s="11"/>
      <c r="E46" s="11"/>
    </row>
    <row r="47" spans="1:6" x14ac:dyDescent="0.2">
      <c r="A47" s="11"/>
      <c r="B47" s="11"/>
      <c r="C47" s="11"/>
      <c r="D47" s="11"/>
      <c r="E47" s="11"/>
    </row>
    <row r="48" spans="1:6" x14ac:dyDescent="0.2">
      <c r="A48" s="11"/>
      <c r="B48" s="11"/>
      <c r="C48" s="11"/>
      <c r="D48" s="11"/>
      <c r="E48" s="11"/>
    </row>
    <row r="49" spans="1:5" x14ac:dyDescent="0.2">
      <c r="A49" s="11"/>
      <c r="B49" s="11"/>
      <c r="C49" s="11"/>
      <c r="D49" s="11"/>
      <c r="E49" s="11"/>
    </row>
    <row r="50" spans="1:5" x14ac:dyDescent="0.2">
      <c r="A50" s="11"/>
      <c r="B50" s="11"/>
      <c r="C50" s="11"/>
      <c r="D50" s="11"/>
      <c r="E50" s="11"/>
    </row>
    <row r="51" spans="1:5" x14ac:dyDescent="0.2">
      <c r="A51" s="11"/>
      <c r="B51" s="11"/>
      <c r="C51" s="11"/>
      <c r="D51" s="11"/>
      <c r="E51" s="11"/>
    </row>
    <row r="52" spans="1:5" ht="8" customHeight="1" x14ac:dyDescent="0.2">
      <c r="A52" s="11"/>
      <c r="B52" s="11"/>
      <c r="C52" s="11"/>
      <c r="D52" s="11"/>
      <c r="E52" s="11"/>
    </row>
    <row r="53" spans="1:5" ht="11" hidden="1" x14ac:dyDescent="0.2">
      <c r="A53" s="11"/>
      <c r="B53" s="11"/>
      <c r="C53" s="11"/>
      <c r="D53" s="11"/>
      <c r="E53" s="11"/>
    </row>
    <row r="54" spans="1:5" hidden="1" x14ac:dyDescent="0.2">
      <c r="A54" s="11"/>
      <c r="B54" s="11"/>
      <c r="C54" s="11"/>
      <c r="D54" s="11"/>
      <c r="E54" s="11"/>
    </row>
    <row r="55" spans="1:5" ht="1" hidden="1" x14ac:dyDescent="0.2">
      <c r="A55" s="11"/>
      <c r="B55" s="11"/>
      <c r="C55" s="11"/>
      <c r="D55" s="11"/>
      <c r="E55" s="11"/>
    </row>
  </sheetData>
  <mergeCells count="1">
    <mergeCell ref="A46:E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Frederick Tamayo</cp:lastModifiedBy>
  <dcterms:created xsi:type="dcterms:W3CDTF">2025-11-22T09:14:52Z</dcterms:created>
  <dcterms:modified xsi:type="dcterms:W3CDTF">2025-11-22T09:50:37Z</dcterms:modified>
</cp:coreProperties>
</file>